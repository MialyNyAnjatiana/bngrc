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5"/>
    <sheet state="visible" name="liste des taches" sheetId="2" r:id="rId6"/>
    <sheet state="visible" name="avancement projet" sheetId="3" r:id="rId7"/>
    <sheet state="visible" name="detail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<sst xmlns="http://schemas.openxmlformats.org/spreadsheetml/2006/main" count="348" uniqueCount="93">
  <si>
    <t>Avancement</t>
  </si>
  <si>
    <t>Qui</t>
  </si>
  <si>
    <t>Somme de Estimation</t>
  </si>
  <si>
    <t>Harena</t>
  </si>
  <si>
    <t>Koly</t>
  </si>
  <si>
    <t>Mialy</t>
  </si>
  <si>
    <t>Total général</t>
  </si>
  <si>
    <t>Ligne</t>
  </si>
  <si>
    <t>Catégorie</t>
  </si>
  <si>
    <t>Module</t>
  </si>
  <si>
    <t>Nom page</t>
  </si>
  <si>
    <t>Description</t>
  </si>
  <si>
    <t>Type</t>
  </si>
  <si>
    <t>Estimation (en min)</t>
  </si>
  <si>
    <t>Temps passé</t>
  </si>
  <si>
    <t>Reste à faire</t>
  </si>
  <si>
    <t>Status</t>
  </si>
  <si>
    <t>Web</t>
  </si>
  <si>
    <t>Login</t>
  </si>
  <si>
    <t>login.php</t>
  </si>
  <si>
    <t>login (auto-login)</t>
  </si>
  <si>
    <t>Fonction</t>
  </si>
  <si>
    <t>Terminé</t>
  </si>
  <si>
    <t>html + css</t>
  </si>
  <si>
    <t>Affichage</t>
  </si>
  <si>
    <t>Dashboard</t>
  </si>
  <si>
    <t>dashboard.php</t>
  </si>
  <si>
    <t>Base</t>
  </si>
  <si>
    <t>table + données</t>
  </si>
  <si>
    <t>Home</t>
  </si>
  <si>
    <t>home.php</t>
  </si>
  <si>
    <t>getBesoins</t>
  </si>
  <si>
    <t>getLiaison</t>
  </si>
  <si>
    <t>Formulaire</t>
  </si>
  <si>
    <t>form.php</t>
  </si>
  <si>
    <t>addBesoin</t>
  </si>
  <si>
    <t>addDon</t>
  </si>
  <si>
    <t>Liaison</t>
  </si>
  <si>
    <t>liaison.php</t>
  </si>
  <si>
    <t>associerDon</t>
  </si>
  <si>
    <t>verifierDon</t>
  </si>
  <si>
    <t>fonctionnement login</t>
  </si>
  <si>
    <t>Intégration</t>
  </si>
  <si>
    <t>fonctionnement ajout besoin/don</t>
  </si>
  <si>
    <t>fonctionnement association don</t>
  </si>
  <si>
    <t>fonctionnement tableau de bord</t>
  </si>
  <si>
    <t>getDepenseVille</t>
  </si>
  <si>
    <t>Fonction + Intégration</t>
  </si>
  <si>
    <t>Recapitulatif</t>
  </si>
  <si>
    <t>recap.php</t>
  </si>
  <si>
    <t xml:space="preserve">html </t>
  </si>
  <si>
    <t>Ajax loadData + FormatMoney</t>
  </si>
  <si>
    <t>Fonction+Integration</t>
  </si>
  <si>
    <t>Achat</t>
  </si>
  <si>
    <t>achat.php</t>
  </si>
  <si>
    <t>effectuerAchat</t>
  </si>
  <si>
    <t>getBesoinsParVille</t>
  </si>
  <si>
    <t>getDonsParVille</t>
  </si>
  <si>
    <t>fonctionnement achat</t>
  </si>
  <si>
    <t>getBesoinsAchetables</t>
  </si>
  <si>
    <t>getTotalAchatParVille</t>
  </si>
  <si>
    <t>getTotalBesoins</t>
  </si>
  <si>
    <t>getBesoinsSatifaits</t>
  </si>
  <si>
    <t>getDonsRecus</t>
  </si>
  <si>
    <t>recap.pphp</t>
  </si>
  <si>
    <t>getDonsDispatches</t>
  </si>
  <si>
    <t>getDonnes</t>
  </si>
  <si>
    <t>filtreDons</t>
  </si>
  <si>
    <t>filtreBesoin</t>
  </si>
  <si>
    <t>Vente</t>
  </si>
  <si>
    <t>vente.php</t>
  </si>
  <si>
    <t>venteDons</t>
  </si>
  <si>
    <t>Page</t>
  </si>
  <si>
    <t>projet</t>
  </si>
  <si>
    <t>fonctionnement page, lien, base</t>
  </si>
  <si>
    <t>ajoutConditionVentes</t>
  </si>
  <si>
    <t>affichage de message d'erreur</t>
  </si>
  <si>
    <t>besoins liers par dons</t>
  </si>
  <si>
    <t>fonctionnement vente</t>
  </si>
  <si>
    <t>Renitialisation</t>
  </si>
  <si>
    <t>renitialisation.php</t>
  </si>
  <si>
    <t>viderTableaux</t>
  </si>
  <si>
    <t>renitisaliser</t>
  </si>
  <si>
    <t>par defaut</t>
  </si>
  <si>
    <t>par aleatoire</t>
  </si>
  <si>
    <t>fonctionnement réinitialisation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</si>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</sst>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2.0"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b/>
      <sz val="12.0"/>
      <color theme="1"/>
      <name val="Arial"/>
    </font>
    <font>
      <b/>
      <sz val="12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0" xfId="0" applyFill="1" applyFont="1" applyNumberFormat="1"/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3" fontId="4" numFmtId="0" xfId="0" applyAlignment="1" applyFill="1" applyFont="1">
      <alignment readingOrder="0"/>
    </xf>
    <xf borderId="1" fillId="3" fontId="5" numFmtId="0" xfId="0" applyBorder="1" applyFont="1"/>
    <xf borderId="1" fillId="3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3" numFmtId="10" xfId="0" applyFont="1" applyNumberFormat="1"/>
    <xf borderId="0" fillId="0" fontId="2" numFmtId="0" xfId="0" applyAlignment="1" applyFont="1">
      <alignment readingOrder="0"/>
    </xf>
    <xf borderId="0" fillId="0" fontId="3" numFmtId="9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L50" sheet="liste des taches"/>
  </cacheSource>
  <cacheFields>
    <cacheField name="Module" numFmtId="0">
      <sharedItems containsBlank="1">
        <s v="Login"/>
        <s v="Dashboard"/>
        <s v="Base"/>
        <s v="Home"/>
        <s v="Formulaire"/>
        <s v="Liaison"/>
        <s v="Recapitulatif"/>
        <s v="Achat"/>
        <s v="Vente"/>
        <s v="Page"/>
        <s v="Renitialisation"/>
        <m/>
      </sharedItems>
    </cacheField>
    <cacheField name="Nom page" numFmtId="0">
      <sharedItems containsBlank="1">
        <s v="login.php"/>
        <s v="dashboard.php"/>
        <m/>
        <s v="home.php"/>
        <s v="form.php"/>
        <s v="liaison.php"/>
        <s v="recap.php"/>
        <s v="achat.php"/>
        <s v="recap.pphp"/>
        <s v="vente.php"/>
        <s v="projet"/>
        <s v="renitialisation.php"/>
      </sharedItems>
    </cacheField>
    <cacheField name="Description" numFmtId="0">
      <sharedItems containsBlank="1">
        <s v="login (auto-login)"/>
        <s v="html + css"/>
        <s v="table + données"/>
        <s v="getBesoins"/>
        <s v="getLiaison"/>
        <s v="addBesoin"/>
        <s v="addDon"/>
        <s v="associerDon"/>
        <s v="verifierDon"/>
        <s v="fonctionnement login"/>
        <s v="fonctionnement ajout besoin/don"/>
        <s v="fonctionnement association don"/>
        <s v="fonctionnement tableau de bord"/>
        <s v="getDepenseVille"/>
        <s v="html "/>
        <s v="Ajax loadData + FormatMoney"/>
        <s v="effectuerAchat"/>
        <s v="getBesoinsParVille"/>
        <s v="getDonsParVille"/>
        <s v="fonctionnement achat"/>
        <s v="getBesoinsAchetables"/>
        <s v="getTotalAchatParVille"/>
        <s v="getTotalBesoins"/>
        <s v="getBesoinsSatifaits"/>
        <s v="getDonsRecus"/>
        <s v="getDonsDispatches"/>
        <s v="getDonnes"/>
        <s v="filtreDons"/>
        <s v="filtreBesoin"/>
        <s v="venteDons"/>
        <s v="fonctionnement page, lien, base"/>
        <s v="ajoutConditionVentes"/>
        <s v="affichage de message d'erreur"/>
        <s v="besoins liers par dons"/>
        <s v="fonctionnement vente"/>
        <s v="viderTableaux"/>
        <s v="renitisaliser"/>
        <s v="par defaut"/>
        <s v="par aleatoire"/>
        <s v="fonctionnement réinitialisation"/>
        <m/>
      </sharedItems>
    </cacheField>
    <cacheField name="Type" numFmtId="0">
      <sharedItems containsBlank="1">
        <s v="Fonction"/>
        <s v="Affichage"/>
        <s v="Base"/>
        <s v="Intégration"/>
        <s v="Fonction + Intégration"/>
        <s v="Fonction+Integration"/>
        <m/>
      </sharedItems>
    </cacheField>
    <cacheField name="Estimation (en min)" numFmtId="0">
      <sharedItems containsString="0" containsBlank="1" containsNumber="1" containsInteger="1">
        <n v="5.0"/>
        <n v="10.0"/>
        <n v="20.0"/>
        <n v="15.0"/>
        <n v="45.0"/>
        <n v="30.0"/>
        <n v="25.0"/>
        <n v="60.0"/>
        <n v="35.0"/>
        <n v="100.0"/>
        <n v="120.0"/>
        <m/>
      </sharedItems>
    </cacheField>
    <cacheField name="Temps passé" numFmtId="0">
      <sharedItems containsString="0" containsBlank="1" containsNumber="1" containsInteger="1">
        <n v="5.0"/>
        <n v="10.0"/>
        <n v="30.0"/>
        <n v="20.0"/>
        <n v="60.0"/>
        <n v="45.0"/>
        <n v="35.0"/>
        <n v="25.0"/>
        <n v="50.0"/>
        <n v="15.0"/>
        <n v="100.0"/>
        <n v="120.0"/>
        <m/>
      </sharedItems>
    </cacheField>
    <cacheField name="Reste à faire" numFmtId="0">
      <sharedItems containsString="0" containsBlank="1" containsNumber="1" containsInteger="1">
        <n v="0.0"/>
        <n v="-10.0"/>
        <n v="-45.0"/>
        <n v="-5.0"/>
        <n v="5.0"/>
        <n v="-20.0"/>
        <n v="15.0"/>
        <m/>
      </sharedItems>
    </cacheField>
    <cacheField name="Avancement" numFmtId="10">
      <sharedItems containsString="0" containsBlank="1" containsNumber="1">
        <n v="1.0"/>
        <n v="1.5"/>
        <n v="2.0"/>
        <n v="4.0"/>
        <n v="1.1666666666666667"/>
        <n v="1.2"/>
        <n v="0.6666666666666666"/>
        <n v="0.8333333333333334"/>
        <n v="1.8"/>
        <n v="1.1111111111111112"/>
        <n v="0.5"/>
        <n v="1.4"/>
        <n v="1.3333333333333333"/>
        <n v="1.2857142857142858"/>
        <m/>
      </sharedItems>
    </cacheField>
    <cacheField name="Qui" numFmtId="0">
      <sharedItems containsBlank="1">
        <s v="Koly"/>
        <s v="Mialy"/>
        <s v="Harena"/>
        <m/>
      </sharedItems>
    </cacheField>
    <cacheField name="Status" numFmtId="0">
      <sharedItems containsBlank="1">
        <s v="Terminé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3:B8" firstHeaderRow="0" firstDataRow="1" firstDataCol="0"/>
  <pivotFields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 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timation (en min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mps pass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e à fai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vanceme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Qui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8"/>
  </rowFields>
  <dataFields>
    <dataField name="Somme de Estimation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19.44"/>
    <col customWidth="1" min="3" max="26" width="10.56"/>
  </cols>
  <sheetData>
    <row r="1" ht="15.75" customHeight="1">
      <c r="A1" s="1" t="s">
        <v>0</v>
      </c>
      <c r="B1" s="2">
        <f>'avancement projet'!D2</f>
        <v>1.108597285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3.22"/>
    <col customWidth="1" min="3" max="3" width="15.78"/>
    <col customWidth="1" min="4" max="4" width="18.0"/>
    <col customWidth="1" min="5" max="5" width="26.89"/>
    <col customWidth="1" min="6" max="6" width="18.78"/>
    <col customWidth="1" min="7" max="7" width="17.22"/>
    <col customWidth="1" min="8" max="8" width="16.22"/>
    <col customWidth="1" min="9" max="9" width="16.44"/>
    <col customWidth="1" min="10" max="10" width="12.0"/>
    <col customWidth="1" min="11" max="11" width="12.11"/>
    <col customWidth="1" min="12" max="12" width="14.78"/>
    <col customWidth="1" min="13" max="28" width="10.56"/>
  </cols>
  <sheetData>
    <row r="1" ht="15.75" customHeight="1">
      <c r="A1" s="6" t="s">
        <v>7</v>
      </c>
      <c r="B1" s="6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8" t="s">
        <v>13</v>
      </c>
      <c r="H1" s="7" t="s">
        <v>14</v>
      </c>
      <c r="I1" s="7" t="s">
        <v>15</v>
      </c>
      <c r="J1" s="7" t="s">
        <v>0</v>
      </c>
      <c r="K1" s="7" t="s">
        <v>1</v>
      </c>
      <c r="L1" s="7" t="s">
        <v>16</v>
      </c>
    </row>
    <row r="2" ht="15.75" customHeight="1">
      <c r="A2" s="9">
        <v>1.0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>
        <v>5.0</v>
      </c>
      <c r="H2" s="9">
        <v>5.0</v>
      </c>
      <c r="I2" s="4">
        <f t="shared" ref="I2:I27" si="1">G2-H2</f>
        <v>0</v>
      </c>
      <c r="J2" s="10">
        <f t="shared" ref="J2:J47" si="2">(H2/(H2+I2))</f>
        <v>1</v>
      </c>
      <c r="K2" s="9" t="s">
        <v>4</v>
      </c>
      <c r="L2" s="9" t="s">
        <v>22</v>
      </c>
    </row>
    <row r="3" ht="15.75" customHeight="1">
      <c r="A3" s="9">
        <v>2.0</v>
      </c>
      <c r="B3" s="9" t="s">
        <v>17</v>
      </c>
      <c r="C3" s="9" t="s">
        <v>18</v>
      </c>
      <c r="D3" s="9" t="s">
        <v>19</v>
      </c>
      <c r="E3" s="9" t="s">
        <v>23</v>
      </c>
      <c r="F3" s="9" t="s">
        <v>24</v>
      </c>
      <c r="G3" s="9">
        <v>10.0</v>
      </c>
      <c r="H3" s="9">
        <v>10.0</v>
      </c>
      <c r="I3" s="4">
        <f t="shared" si="1"/>
        <v>0</v>
      </c>
      <c r="J3" s="10">
        <f t="shared" si="2"/>
        <v>1</v>
      </c>
      <c r="K3" s="9" t="s">
        <v>5</v>
      </c>
      <c r="L3" s="9" t="s">
        <v>22</v>
      </c>
    </row>
    <row r="4" ht="15.75" customHeight="1">
      <c r="A4" s="9">
        <v>3.0</v>
      </c>
      <c r="B4" s="9" t="s">
        <v>17</v>
      </c>
      <c r="C4" s="9" t="s">
        <v>25</v>
      </c>
      <c r="D4" s="9" t="s">
        <v>26</v>
      </c>
      <c r="E4" s="9" t="s">
        <v>23</v>
      </c>
      <c r="F4" s="9" t="s">
        <v>24</v>
      </c>
      <c r="G4" s="9">
        <v>20.0</v>
      </c>
      <c r="H4" s="9">
        <v>30.0</v>
      </c>
      <c r="I4" s="4">
        <f t="shared" si="1"/>
        <v>-10</v>
      </c>
      <c r="J4" s="10">
        <f t="shared" si="2"/>
        <v>1.5</v>
      </c>
      <c r="K4" s="9" t="s">
        <v>5</v>
      </c>
      <c r="L4" s="9" t="s">
        <v>22</v>
      </c>
    </row>
    <row r="5" ht="15.75" customHeight="1">
      <c r="A5" s="9">
        <v>4.0</v>
      </c>
      <c r="B5" s="9" t="s">
        <v>17</v>
      </c>
      <c r="C5" s="9" t="s">
        <v>27</v>
      </c>
      <c r="D5" s="9"/>
      <c r="E5" s="9" t="s">
        <v>28</v>
      </c>
      <c r="F5" s="9" t="s">
        <v>27</v>
      </c>
      <c r="G5" s="9">
        <v>5.0</v>
      </c>
      <c r="H5" s="9">
        <v>5.0</v>
      </c>
      <c r="I5" s="4">
        <f t="shared" si="1"/>
        <v>0</v>
      </c>
      <c r="J5" s="10">
        <f t="shared" si="2"/>
        <v>1</v>
      </c>
      <c r="K5" s="9" t="s">
        <v>4</v>
      </c>
      <c r="L5" s="9" t="s">
        <v>22</v>
      </c>
    </row>
    <row r="6" ht="15.75" customHeight="1">
      <c r="A6" s="9">
        <v>5.0</v>
      </c>
      <c r="B6" s="9" t="s">
        <v>17</v>
      </c>
      <c r="C6" s="9" t="s">
        <v>29</v>
      </c>
      <c r="D6" s="9" t="s">
        <v>30</v>
      </c>
      <c r="E6" s="9" t="s">
        <v>31</v>
      </c>
      <c r="F6" s="9" t="s">
        <v>21</v>
      </c>
      <c r="G6" s="9">
        <v>10.0</v>
      </c>
      <c r="H6" s="9">
        <v>20.0</v>
      </c>
      <c r="I6" s="4">
        <f t="shared" si="1"/>
        <v>-10</v>
      </c>
      <c r="J6" s="10">
        <f t="shared" si="2"/>
        <v>2</v>
      </c>
      <c r="K6" s="9" t="s">
        <v>3</v>
      </c>
      <c r="L6" s="9" t="s">
        <v>22</v>
      </c>
    </row>
    <row r="7" ht="15.75" customHeight="1">
      <c r="A7" s="9">
        <v>6.0</v>
      </c>
      <c r="B7" s="9" t="s">
        <v>17</v>
      </c>
      <c r="C7" s="9" t="s">
        <v>29</v>
      </c>
      <c r="D7" s="9" t="s">
        <v>30</v>
      </c>
      <c r="E7" s="9" t="s">
        <v>32</v>
      </c>
      <c r="F7" s="9" t="s">
        <v>21</v>
      </c>
      <c r="G7" s="9">
        <v>10.0</v>
      </c>
      <c r="H7" s="9">
        <v>10.0</v>
      </c>
      <c r="I7" s="4">
        <f t="shared" si="1"/>
        <v>0</v>
      </c>
      <c r="J7" s="10">
        <f t="shared" si="2"/>
        <v>1</v>
      </c>
      <c r="K7" s="9" t="s">
        <v>4</v>
      </c>
      <c r="L7" s="9" t="s">
        <v>22</v>
      </c>
    </row>
    <row r="8" ht="15.75" customHeight="1">
      <c r="A8" s="9">
        <v>7.0</v>
      </c>
      <c r="B8" s="9" t="s">
        <v>17</v>
      </c>
      <c r="C8" s="9" t="s">
        <v>33</v>
      </c>
      <c r="D8" s="9" t="s">
        <v>34</v>
      </c>
      <c r="E8" s="9" t="s">
        <v>35</v>
      </c>
      <c r="F8" s="9" t="s">
        <v>21</v>
      </c>
      <c r="G8" s="9">
        <v>10.0</v>
      </c>
      <c r="H8" s="9">
        <v>20.0</v>
      </c>
      <c r="I8" s="4">
        <f t="shared" si="1"/>
        <v>-10</v>
      </c>
      <c r="J8" s="10">
        <f t="shared" si="2"/>
        <v>2</v>
      </c>
      <c r="K8" s="9" t="s">
        <v>3</v>
      </c>
      <c r="L8" s="9" t="s">
        <v>22</v>
      </c>
    </row>
    <row r="9" ht="15.75" customHeight="1">
      <c r="A9" s="9">
        <v>8.0</v>
      </c>
      <c r="B9" s="9" t="s">
        <v>17</v>
      </c>
      <c r="C9" s="9" t="s">
        <v>33</v>
      </c>
      <c r="D9" s="9" t="s">
        <v>34</v>
      </c>
      <c r="E9" s="9" t="s">
        <v>36</v>
      </c>
      <c r="F9" s="9" t="s">
        <v>21</v>
      </c>
      <c r="G9" s="9">
        <v>10.0</v>
      </c>
      <c r="H9" s="9">
        <v>20.0</v>
      </c>
      <c r="I9" s="4">
        <f t="shared" si="1"/>
        <v>-10</v>
      </c>
      <c r="J9" s="10">
        <f t="shared" si="2"/>
        <v>2</v>
      </c>
      <c r="K9" s="9" t="s">
        <v>3</v>
      </c>
      <c r="L9" s="9" t="s">
        <v>22</v>
      </c>
    </row>
    <row r="10" ht="15.75" customHeight="1">
      <c r="A10" s="9">
        <v>9.0</v>
      </c>
      <c r="B10" s="9" t="s">
        <v>17</v>
      </c>
      <c r="C10" s="9" t="s">
        <v>37</v>
      </c>
      <c r="D10" s="9" t="s">
        <v>38</v>
      </c>
      <c r="E10" s="9" t="s">
        <v>39</v>
      </c>
      <c r="F10" s="9" t="s">
        <v>21</v>
      </c>
      <c r="G10" s="9">
        <v>15.0</v>
      </c>
      <c r="H10" s="9">
        <v>60.0</v>
      </c>
      <c r="I10" s="4">
        <f t="shared" si="1"/>
        <v>-45</v>
      </c>
      <c r="J10" s="10">
        <f t="shared" si="2"/>
        <v>4</v>
      </c>
      <c r="K10" s="9" t="s">
        <v>4</v>
      </c>
      <c r="L10" s="9" t="s">
        <v>22</v>
      </c>
    </row>
    <row r="11" ht="15.75" customHeight="1">
      <c r="A11" s="9">
        <v>10.0</v>
      </c>
      <c r="B11" s="9" t="s">
        <v>17</v>
      </c>
      <c r="C11" s="9" t="s">
        <v>37</v>
      </c>
      <c r="D11" s="9" t="s">
        <v>38</v>
      </c>
      <c r="E11" s="9" t="s">
        <v>40</v>
      </c>
      <c r="F11" s="9" t="s">
        <v>21</v>
      </c>
      <c r="G11" s="9">
        <v>45.0</v>
      </c>
      <c r="H11" s="9">
        <v>45.0</v>
      </c>
      <c r="I11" s="4">
        <f t="shared" si="1"/>
        <v>0</v>
      </c>
      <c r="J11" s="10">
        <f t="shared" si="2"/>
        <v>1</v>
      </c>
      <c r="K11" s="9" t="s">
        <v>4</v>
      </c>
      <c r="L11" s="9" t="s">
        <v>22</v>
      </c>
    </row>
    <row r="12" ht="15.75" customHeight="1">
      <c r="A12" s="9">
        <v>11.0</v>
      </c>
      <c r="B12" s="9" t="s">
        <v>17</v>
      </c>
      <c r="C12" s="9" t="s">
        <v>33</v>
      </c>
      <c r="D12" s="9" t="s">
        <v>34</v>
      </c>
      <c r="E12" s="9" t="s">
        <v>23</v>
      </c>
      <c r="F12" s="9" t="s">
        <v>24</v>
      </c>
      <c r="G12" s="9">
        <v>30.0</v>
      </c>
      <c r="H12" s="9">
        <v>35.0</v>
      </c>
      <c r="I12" s="4">
        <f t="shared" si="1"/>
        <v>-5</v>
      </c>
      <c r="J12" s="10">
        <f t="shared" si="2"/>
        <v>1.166666667</v>
      </c>
      <c r="K12" s="9" t="s">
        <v>5</v>
      </c>
      <c r="L12" s="9" t="s">
        <v>22</v>
      </c>
    </row>
    <row r="13" ht="15.75" customHeight="1">
      <c r="A13" s="9">
        <v>12.0</v>
      </c>
      <c r="B13" s="9" t="s">
        <v>17</v>
      </c>
      <c r="C13" s="9" t="s">
        <v>37</v>
      </c>
      <c r="D13" s="9" t="s">
        <v>38</v>
      </c>
      <c r="E13" s="9" t="s">
        <v>23</v>
      </c>
      <c r="F13" s="9" t="s">
        <v>24</v>
      </c>
      <c r="G13" s="9">
        <v>25.0</v>
      </c>
      <c r="H13" s="9">
        <v>30.0</v>
      </c>
      <c r="I13" s="4">
        <f t="shared" si="1"/>
        <v>-5</v>
      </c>
      <c r="J13" s="10">
        <f t="shared" si="2"/>
        <v>1.2</v>
      </c>
      <c r="K13" s="9" t="s">
        <v>5</v>
      </c>
      <c r="L13" s="9" t="s">
        <v>22</v>
      </c>
    </row>
    <row r="14" ht="15.75" customHeight="1">
      <c r="A14" s="9">
        <v>13.0</v>
      </c>
      <c r="B14" s="9" t="s">
        <v>17</v>
      </c>
      <c r="C14" s="9" t="s">
        <v>18</v>
      </c>
      <c r="D14" s="9" t="s">
        <v>19</v>
      </c>
      <c r="E14" s="9" t="s">
        <v>41</v>
      </c>
      <c r="F14" s="9" t="s">
        <v>42</v>
      </c>
      <c r="G14" s="9">
        <v>15.0</v>
      </c>
      <c r="H14" s="9">
        <v>10.0</v>
      </c>
      <c r="I14" s="4">
        <f t="shared" si="1"/>
        <v>5</v>
      </c>
      <c r="J14" s="10">
        <f t="shared" si="2"/>
        <v>0.6666666667</v>
      </c>
      <c r="K14" s="9" t="s">
        <v>5</v>
      </c>
      <c r="L14" s="9" t="s">
        <v>22</v>
      </c>
    </row>
    <row r="15" ht="15.75" customHeight="1">
      <c r="A15" s="9">
        <v>14.0</v>
      </c>
      <c r="B15" s="9" t="s">
        <v>17</v>
      </c>
      <c r="C15" s="9" t="s">
        <v>33</v>
      </c>
      <c r="D15" s="9" t="s">
        <v>34</v>
      </c>
      <c r="E15" s="9" t="s">
        <v>43</v>
      </c>
      <c r="F15" s="9" t="s">
        <v>42</v>
      </c>
      <c r="G15" s="9">
        <v>30.0</v>
      </c>
      <c r="H15" s="9">
        <v>25.0</v>
      </c>
      <c r="I15" s="4">
        <f t="shared" si="1"/>
        <v>5</v>
      </c>
      <c r="J15" s="10">
        <f t="shared" si="2"/>
        <v>0.8333333333</v>
      </c>
      <c r="K15" s="9" t="s">
        <v>5</v>
      </c>
      <c r="L15" s="9" t="s">
        <v>22</v>
      </c>
    </row>
    <row r="16" ht="15.75" customHeight="1">
      <c r="A16" s="9">
        <v>15.0</v>
      </c>
      <c r="B16" s="9" t="s">
        <v>17</v>
      </c>
      <c r="C16" s="9" t="s">
        <v>37</v>
      </c>
      <c r="D16" s="9" t="s">
        <v>38</v>
      </c>
      <c r="E16" s="9" t="s">
        <v>44</v>
      </c>
      <c r="F16" s="9" t="s">
        <v>42</v>
      </c>
      <c r="G16" s="9">
        <v>25.0</v>
      </c>
      <c r="H16" s="9">
        <v>45.0</v>
      </c>
      <c r="I16" s="4">
        <f t="shared" si="1"/>
        <v>-20</v>
      </c>
      <c r="J16" s="10">
        <f t="shared" si="2"/>
        <v>1.8</v>
      </c>
      <c r="K16" s="9" t="s">
        <v>5</v>
      </c>
      <c r="L16" s="9" t="s">
        <v>22</v>
      </c>
    </row>
    <row r="17" ht="15.75" customHeight="1">
      <c r="A17" s="9">
        <v>16.0</v>
      </c>
      <c r="B17" s="9" t="s">
        <v>17</v>
      </c>
      <c r="C17" s="9" t="s">
        <v>29</v>
      </c>
      <c r="D17" s="9" t="s">
        <v>30</v>
      </c>
      <c r="E17" s="9" t="s">
        <v>45</v>
      </c>
      <c r="F17" s="9" t="s">
        <v>42</v>
      </c>
      <c r="G17" s="9">
        <v>45.0</v>
      </c>
      <c r="H17" s="9">
        <v>50.0</v>
      </c>
      <c r="I17" s="4">
        <f t="shared" si="1"/>
        <v>-5</v>
      </c>
      <c r="J17" s="10">
        <f t="shared" si="2"/>
        <v>1.111111111</v>
      </c>
      <c r="K17" s="9" t="s">
        <v>5</v>
      </c>
      <c r="L17" s="9" t="s">
        <v>22</v>
      </c>
    </row>
    <row r="18" ht="15.75" customHeight="1">
      <c r="A18" s="9">
        <v>17.0</v>
      </c>
      <c r="B18" s="9" t="s">
        <v>17</v>
      </c>
      <c r="C18" s="9" t="s">
        <v>29</v>
      </c>
      <c r="D18" s="9" t="s">
        <v>30</v>
      </c>
      <c r="E18" s="9" t="s">
        <v>46</v>
      </c>
      <c r="F18" s="9" t="s">
        <v>47</v>
      </c>
      <c r="G18" s="9">
        <v>30.0</v>
      </c>
      <c r="H18" s="9">
        <v>15.0</v>
      </c>
      <c r="I18" s="4">
        <f t="shared" si="1"/>
        <v>15</v>
      </c>
      <c r="J18" s="10">
        <f t="shared" si="2"/>
        <v>0.5</v>
      </c>
      <c r="K18" s="9" t="s">
        <v>5</v>
      </c>
      <c r="L18" s="9" t="s">
        <v>22</v>
      </c>
    </row>
    <row r="19" ht="15.75" customHeight="1">
      <c r="A19" s="9">
        <v>18.0</v>
      </c>
      <c r="B19" s="9" t="s">
        <v>17</v>
      </c>
      <c r="C19" s="9" t="s">
        <v>48</v>
      </c>
      <c r="D19" s="9" t="s">
        <v>49</v>
      </c>
      <c r="E19" s="9" t="s">
        <v>50</v>
      </c>
      <c r="F19" s="9" t="s">
        <v>24</v>
      </c>
      <c r="G19" s="9">
        <v>5.0</v>
      </c>
      <c r="H19" s="9">
        <v>5.0</v>
      </c>
      <c r="I19" s="4">
        <f t="shared" si="1"/>
        <v>0</v>
      </c>
      <c r="J19" s="10">
        <f t="shared" si="2"/>
        <v>1</v>
      </c>
      <c r="K19" s="9" t="s">
        <v>3</v>
      </c>
      <c r="L19" s="9" t="s">
        <v>22</v>
      </c>
    </row>
    <row r="20" ht="15.75" customHeight="1">
      <c r="A20" s="9">
        <v>19.0</v>
      </c>
      <c r="B20" s="9" t="s">
        <v>17</v>
      </c>
      <c r="C20" s="9" t="s">
        <v>48</v>
      </c>
      <c r="D20" s="9" t="s">
        <v>49</v>
      </c>
      <c r="E20" s="9" t="s">
        <v>51</v>
      </c>
      <c r="F20" s="9" t="s">
        <v>52</v>
      </c>
      <c r="G20" s="9">
        <v>25.0</v>
      </c>
      <c r="H20" s="9">
        <v>35.0</v>
      </c>
      <c r="I20" s="4">
        <f t="shared" si="1"/>
        <v>-10</v>
      </c>
      <c r="J20" s="10">
        <f t="shared" si="2"/>
        <v>1.4</v>
      </c>
      <c r="K20" s="9" t="s">
        <v>3</v>
      </c>
      <c r="L20" s="9" t="s">
        <v>22</v>
      </c>
    </row>
    <row r="21" ht="15.75" customHeight="1">
      <c r="A21" s="9">
        <v>20.0</v>
      </c>
      <c r="B21" s="9" t="s">
        <v>17</v>
      </c>
      <c r="C21" s="9" t="s">
        <v>29</v>
      </c>
      <c r="D21" s="9" t="s">
        <v>30</v>
      </c>
      <c r="E21" s="9" t="s">
        <v>46</v>
      </c>
      <c r="F21" s="9" t="s">
        <v>47</v>
      </c>
      <c r="G21" s="9">
        <v>15.0</v>
      </c>
      <c r="H21" s="9">
        <v>20.0</v>
      </c>
      <c r="I21" s="4">
        <f t="shared" si="1"/>
        <v>-5</v>
      </c>
      <c r="J21" s="10">
        <f t="shared" si="2"/>
        <v>1.333333333</v>
      </c>
      <c r="K21" s="9" t="s">
        <v>5</v>
      </c>
      <c r="L21" s="9" t="s">
        <v>22</v>
      </c>
    </row>
    <row r="22" ht="15.75" customHeight="1">
      <c r="A22" s="9">
        <v>21.0</v>
      </c>
      <c r="B22" s="9" t="s">
        <v>17</v>
      </c>
      <c r="C22" s="9" t="s">
        <v>53</v>
      </c>
      <c r="D22" s="9" t="s">
        <v>54</v>
      </c>
      <c r="E22" s="9" t="s">
        <v>55</v>
      </c>
      <c r="F22" s="9" t="s">
        <v>21</v>
      </c>
      <c r="G22" s="9">
        <v>60.0</v>
      </c>
      <c r="H22" s="9">
        <v>60.0</v>
      </c>
      <c r="I22" s="4">
        <f t="shared" si="1"/>
        <v>0</v>
      </c>
      <c r="J22" s="10">
        <f t="shared" si="2"/>
        <v>1</v>
      </c>
      <c r="K22" s="9" t="s">
        <v>4</v>
      </c>
      <c r="L22" s="9" t="s">
        <v>22</v>
      </c>
    </row>
    <row r="23" ht="15.75" customHeight="1">
      <c r="A23" s="9">
        <v>22.0</v>
      </c>
      <c r="B23" s="9" t="s">
        <v>17</v>
      </c>
      <c r="C23" s="9" t="s">
        <v>53</v>
      </c>
      <c r="D23" s="9" t="s">
        <v>54</v>
      </c>
      <c r="E23" s="9" t="s">
        <v>56</v>
      </c>
      <c r="F23" s="9" t="s">
        <v>21</v>
      </c>
      <c r="G23" s="9">
        <v>10.0</v>
      </c>
      <c r="H23" s="9">
        <v>10.0</v>
      </c>
      <c r="I23" s="4">
        <f t="shared" si="1"/>
        <v>0</v>
      </c>
      <c r="J23" s="10">
        <f t="shared" si="2"/>
        <v>1</v>
      </c>
      <c r="K23" s="9" t="s">
        <v>4</v>
      </c>
      <c r="L23" s="9" t="s">
        <v>22</v>
      </c>
    </row>
    <row r="24" ht="15.75" customHeight="1">
      <c r="A24" s="9">
        <v>23.0</v>
      </c>
      <c r="B24" s="9" t="s">
        <v>17</v>
      </c>
      <c r="C24" s="9" t="s">
        <v>53</v>
      </c>
      <c r="D24" s="9" t="s">
        <v>54</v>
      </c>
      <c r="E24" s="9" t="s">
        <v>57</v>
      </c>
      <c r="F24" s="9" t="s">
        <v>21</v>
      </c>
      <c r="G24" s="9">
        <v>10.0</v>
      </c>
      <c r="H24" s="9">
        <v>10.0</v>
      </c>
      <c r="I24" s="4">
        <f t="shared" si="1"/>
        <v>0</v>
      </c>
      <c r="J24" s="10">
        <f t="shared" si="2"/>
        <v>1</v>
      </c>
      <c r="K24" s="9" t="s">
        <v>4</v>
      </c>
      <c r="L24" s="9" t="s">
        <v>22</v>
      </c>
    </row>
    <row r="25" ht="15.75" customHeight="1">
      <c r="A25" s="9">
        <v>24.0</v>
      </c>
      <c r="B25" s="9" t="s">
        <v>17</v>
      </c>
      <c r="C25" s="9" t="s">
        <v>53</v>
      </c>
      <c r="D25" s="9" t="s">
        <v>54</v>
      </c>
      <c r="E25" s="9" t="s">
        <v>58</v>
      </c>
      <c r="F25" s="9" t="s">
        <v>42</v>
      </c>
      <c r="G25" s="9">
        <v>35.0</v>
      </c>
      <c r="H25" s="9">
        <v>45.0</v>
      </c>
      <c r="I25" s="4">
        <f t="shared" si="1"/>
        <v>-10</v>
      </c>
      <c r="J25" s="10">
        <f t="shared" si="2"/>
        <v>1.285714286</v>
      </c>
      <c r="K25" s="9" t="s">
        <v>5</v>
      </c>
      <c r="L25" s="9" t="s">
        <v>22</v>
      </c>
    </row>
    <row r="26" ht="15.75" customHeight="1">
      <c r="A26" s="9">
        <v>25.0</v>
      </c>
      <c r="B26" s="9" t="s">
        <v>17</v>
      </c>
      <c r="C26" s="9" t="s">
        <v>53</v>
      </c>
      <c r="D26" s="9" t="s">
        <v>54</v>
      </c>
      <c r="E26" s="9" t="s">
        <v>59</v>
      </c>
      <c r="F26" s="9" t="s">
        <v>21</v>
      </c>
      <c r="G26" s="9">
        <v>15.0</v>
      </c>
      <c r="H26" s="9">
        <v>15.0</v>
      </c>
      <c r="I26" s="4">
        <f t="shared" si="1"/>
        <v>0</v>
      </c>
      <c r="J26" s="10">
        <f t="shared" si="2"/>
        <v>1</v>
      </c>
      <c r="K26" s="9" t="s">
        <v>4</v>
      </c>
      <c r="L26" s="9" t="s">
        <v>22</v>
      </c>
    </row>
    <row r="27" ht="15.75" customHeight="1">
      <c r="A27" s="9">
        <v>26.0</v>
      </c>
      <c r="B27" s="9" t="s">
        <v>17</v>
      </c>
      <c r="C27" s="9" t="s">
        <v>53</v>
      </c>
      <c r="D27" s="9" t="s">
        <v>54</v>
      </c>
      <c r="E27" s="9" t="s">
        <v>60</v>
      </c>
      <c r="F27" s="9" t="s">
        <v>21</v>
      </c>
      <c r="G27" s="9">
        <v>30.0</v>
      </c>
      <c r="H27" s="9">
        <v>30.0</v>
      </c>
      <c r="I27" s="4">
        <f t="shared" si="1"/>
        <v>0</v>
      </c>
      <c r="J27" s="10">
        <f t="shared" si="2"/>
        <v>1</v>
      </c>
      <c r="K27" s="9" t="s">
        <v>4</v>
      </c>
      <c r="L27" s="9" t="s">
        <v>22</v>
      </c>
    </row>
    <row r="28" ht="15.75" customHeight="1">
      <c r="A28" s="9">
        <v>27.0</v>
      </c>
      <c r="B28" s="9" t="s">
        <v>17</v>
      </c>
      <c r="C28" s="9" t="s">
        <v>48</v>
      </c>
      <c r="D28" s="9" t="s">
        <v>49</v>
      </c>
      <c r="E28" s="9" t="s">
        <v>61</v>
      </c>
      <c r="F28" s="9" t="s">
        <v>21</v>
      </c>
      <c r="G28" s="9">
        <v>15.0</v>
      </c>
      <c r="H28" s="9">
        <v>15.0</v>
      </c>
      <c r="I28" s="9">
        <v>0.0</v>
      </c>
      <c r="J28" s="10">
        <f t="shared" si="2"/>
        <v>1</v>
      </c>
      <c r="K28" s="9" t="s">
        <v>3</v>
      </c>
      <c r="L28" s="9" t="s">
        <v>22</v>
      </c>
    </row>
    <row r="29" ht="15.75" customHeight="1">
      <c r="A29" s="9">
        <v>28.0</v>
      </c>
      <c r="B29" s="9" t="s">
        <v>17</v>
      </c>
      <c r="C29" s="9" t="s">
        <v>48</v>
      </c>
      <c r="D29" s="9" t="s">
        <v>49</v>
      </c>
      <c r="E29" s="9" t="s">
        <v>62</v>
      </c>
      <c r="F29" s="9" t="s">
        <v>21</v>
      </c>
      <c r="G29" s="9">
        <v>15.0</v>
      </c>
      <c r="H29" s="9">
        <v>20.0</v>
      </c>
      <c r="I29" s="9">
        <v>0.0</v>
      </c>
      <c r="J29" s="10">
        <f t="shared" si="2"/>
        <v>1</v>
      </c>
      <c r="K29" s="9" t="s">
        <v>3</v>
      </c>
      <c r="L29" s="9" t="s">
        <v>22</v>
      </c>
    </row>
    <row r="30" ht="15.75" customHeight="1">
      <c r="A30" s="9">
        <v>29.0</v>
      </c>
      <c r="B30" s="9" t="s">
        <v>17</v>
      </c>
      <c r="C30" s="9" t="s">
        <v>48</v>
      </c>
      <c r="D30" s="9" t="s">
        <v>49</v>
      </c>
      <c r="E30" s="9" t="s">
        <v>63</v>
      </c>
      <c r="F30" s="9" t="s">
        <v>21</v>
      </c>
      <c r="G30" s="9">
        <v>20.0</v>
      </c>
      <c r="H30" s="9">
        <v>20.0</v>
      </c>
      <c r="I30" s="9">
        <v>0.0</v>
      </c>
      <c r="J30" s="10">
        <f t="shared" si="2"/>
        <v>1</v>
      </c>
      <c r="K30" s="9" t="s">
        <v>3</v>
      </c>
      <c r="L30" s="9" t="s">
        <v>22</v>
      </c>
    </row>
    <row r="31" ht="15.75" customHeight="1">
      <c r="A31" s="9">
        <v>30.0</v>
      </c>
      <c r="B31" s="9" t="s">
        <v>17</v>
      </c>
      <c r="C31" s="9" t="s">
        <v>48</v>
      </c>
      <c r="D31" s="9" t="s">
        <v>64</v>
      </c>
      <c r="E31" s="9" t="s">
        <v>65</v>
      </c>
      <c r="F31" s="9" t="s">
        <v>21</v>
      </c>
      <c r="G31" s="9">
        <v>15.0</v>
      </c>
      <c r="H31" s="9">
        <v>15.0</v>
      </c>
      <c r="I31" s="9">
        <v>0.0</v>
      </c>
      <c r="J31" s="10">
        <f t="shared" si="2"/>
        <v>1</v>
      </c>
      <c r="K31" s="9" t="s">
        <v>3</v>
      </c>
      <c r="L31" s="9" t="s">
        <v>22</v>
      </c>
    </row>
    <row r="32" ht="15.75" customHeight="1">
      <c r="A32" s="9">
        <v>31.0</v>
      </c>
      <c r="B32" s="9" t="s">
        <v>17</v>
      </c>
      <c r="C32" s="9" t="s">
        <v>48</v>
      </c>
      <c r="D32" s="9" t="s">
        <v>49</v>
      </c>
      <c r="E32" s="9" t="s">
        <v>66</v>
      </c>
      <c r="F32" s="9" t="s">
        <v>21</v>
      </c>
      <c r="G32" s="9">
        <v>20.0</v>
      </c>
      <c r="H32" s="9">
        <v>20.0</v>
      </c>
      <c r="I32" s="9">
        <v>0.0</v>
      </c>
      <c r="J32" s="10">
        <f t="shared" si="2"/>
        <v>1</v>
      </c>
      <c r="K32" s="9" t="s">
        <v>3</v>
      </c>
      <c r="L32" s="9" t="s">
        <v>22</v>
      </c>
    </row>
    <row r="33" ht="15.75" customHeight="1">
      <c r="A33" s="9">
        <v>32.0</v>
      </c>
      <c r="B33" s="9" t="s">
        <v>17</v>
      </c>
      <c r="C33" s="9" t="s">
        <v>53</v>
      </c>
      <c r="D33" s="9" t="s">
        <v>54</v>
      </c>
      <c r="E33" s="9" t="s">
        <v>67</v>
      </c>
      <c r="F33" s="9" t="s">
        <v>21</v>
      </c>
      <c r="G33" s="9">
        <v>15.0</v>
      </c>
      <c r="H33" s="9">
        <v>15.0</v>
      </c>
      <c r="I33" s="9">
        <v>0.0</v>
      </c>
      <c r="J33" s="10">
        <f t="shared" si="2"/>
        <v>1</v>
      </c>
      <c r="K33" s="9" t="s">
        <v>4</v>
      </c>
      <c r="L33" s="9" t="s">
        <v>22</v>
      </c>
    </row>
    <row r="34" ht="15.75" customHeight="1">
      <c r="A34" s="9">
        <v>33.0</v>
      </c>
      <c r="B34" s="9" t="s">
        <v>17</v>
      </c>
      <c r="C34" s="9" t="s">
        <v>53</v>
      </c>
      <c r="D34" s="9" t="s">
        <v>54</v>
      </c>
      <c r="E34" s="9" t="s">
        <v>68</v>
      </c>
      <c r="F34" s="9" t="s">
        <v>21</v>
      </c>
      <c r="G34" s="9">
        <v>20.0</v>
      </c>
      <c r="H34" s="9">
        <v>15.0</v>
      </c>
      <c r="I34" s="9">
        <v>0.0</v>
      </c>
      <c r="J34" s="10">
        <f t="shared" si="2"/>
        <v>1</v>
      </c>
      <c r="K34" s="9" t="s">
        <v>4</v>
      </c>
      <c r="L34" s="9" t="s">
        <v>22</v>
      </c>
    </row>
    <row r="35" ht="15.75" customHeight="1">
      <c r="A35" s="9">
        <v>34.0</v>
      </c>
      <c r="B35" s="9" t="s">
        <v>17</v>
      </c>
      <c r="C35" s="9" t="s">
        <v>37</v>
      </c>
      <c r="D35" s="9" t="s">
        <v>38</v>
      </c>
      <c r="E35" s="11" t="s">
        <v>67</v>
      </c>
      <c r="F35" s="9" t="s">
        <v>21</v>
      </c>
      <c r="G35" s="9">
        <v>15.0</v>
      </c>
      <c r="H35" s="9">
        <v>15.0</v>
      </c>
      <c r="I35" s="9">
        <v>0.0</v>
      </c>
      <c r="J35" s="10">
        <f t="shared" si="2"/>
        <v>1</v>
      </c>
      <c r="K35" s="9" t="s">
        <v>4</v>
      </c>
      <c r="L35" s="9" t="s">
        <v>22</v>
      </c>
    </row>
    <row r="36" ht="15.75" customHeight="1">
      <c r="A36" s="9">
        <v>35.0</v>
      </c>
      <c r="B36" s="9" t="s">
        <v>17</v>
      </c>
      <c r="C36" s="9" t="s">
        <v>37</v>
      </c>
      <c r="D36" s="9" t="s">
        <v>38</v>
      </c>
      <c r="E36" s="11" t="s">
        <v>68</v>
      </c>
      <c r="F36" s="9" t="s">
        <v>21</v>
      </c>
      <c r="G36" s="9">
        <v>15.0</v>
      </c>
      <c r="H36" s="9">
        <v>15.0</v>
      </c>
      <c r="I36" s="9">
        <v>0.0</v>
      </c>
      <c r="J36" s="10">
        <f t="shared" si="2"/>
        <v>1</v>
      </c>
      <c r="K36" s="9" t="s">
        <v>4</v>
      </c>
      <c r="L36" s="9" t="s">
        <v>22</v>
      </c>
    </row>
    <row r="37" ht="15.75" customHeight="1">
      <c r="A37" s="9">
        <v>36.0</v>
      </c>
      <c r="B37" s="9" t="s">
        <v>17</v>
      </c>
      <c r="C37" s="9" t="s">
        <v>69</v>
      </c>
      <c r="D37" s="9" t="s">
        <v>70</v>
      </c>
      <c r="E37" s="9" t="s">
        <v>71</v>
      </c>
      <c r="F37" s="9" t="s">
        <v>21</v>
      </c>
      <c r="G37" s="9">
        <v>100.0</v>
      </c>
      <c r="H37" s="9">
        <v>100.0</v>
      </c>
      <c r="I37" s="9">
        <v>0.0</v>
      </c>
      <c r="J37" s="10">
        <f t="shared" si="2"/>
        <v>1</v>
      </c>
      <c r="K37" s="9" t="s">
        <v>4</v>
      </c>
      <c r="L37" s="9" t="s">
        <v>22</v>
      </c>
    </row>
    <row r="38" ht="15.75" customHeight="1">
      <c r="A38" s="9">
        <v>37.0</v>
      </c>
      <c r="B38" s="9" t="s">
        <v>17</v>
      </c>
      <c r="C38" s="9" t="s">
        <v>72</v>
      </c>
      <c r="D38" s="9" t="s">
        <v>73</v>
      </c>
      <c r="E38" s="9" t="s">
        <v>74</v>
      </c>
      <c r="F38" s="9" t="s">
        <v>42</v>
      </c>
      <c r="G38" s="9">
        <v>120.0</v>
      </c>
      <c r="H38" s="9">
        <v>120.0</v>
      </c>
      <c r="I38" s="9">
        <v>0.0</v>
      </c>
      <c r="J38" s="10">
        <f t="shared" si="2"/>
        <v>1</v>
      </c>
      <c r="K38" s="9" t="s">
        <v>5</v>
      </c>
      <c r="L38" s="9" t="s">
        <v>22</v>
      </c>
    </row>
    <row r="39" ht="15.75" customHeight="1">
      <c r="A39" s="9">
        <v>38.0</v>
      </c>
      <c r="B39" s="9" t="s">
        <v>17</v>
      </c>
      <c r="C39" s="9" t="s">
        <v>69</v>
      </c>
      <c r="D39" s="9" t="s">
        <v>70</v>
      </c>
      <c r="E39" s="9" t="s">
        <v>75</v>
      </c>
      <c r="F39" s="9" t="s">
        <v>21</v>
      </c>
      <c r="G39" s="9">
        <v>20.0</v>
      </c>
      <c r="H39" s="9">
        <v>20.0</v>
      </c>
      <c r="I39" s="9">
        <v>0.0</v>
      </c>
      <c r="J39" s="10">
        <f t="shared" si="2"/>
        <v>1</v>
      </c>
      <c r="K39" s="9" t="s">
        <v>4</v>
      </c>
      <c r="L39" s="9" t="s">
        <v>22</v>
      </c>
    </row>
    <row r="40" ht="15.75" customHeight="1">
      <c r="A40" s="9">
        <v>39.0</v>
      </c>
      <c r="B40" s="9" t="s">
        <v>17</v>
      </c>
      <c r="C40" s="9" t="s">
        <v>69</v>
      </c>
      <c r="D40" s="9" t="s">
        <v>70</v>
      </c>
      <c r="E40" s="9" t="s">
        <v>76</v>
      </c>
      <c r="F40" s="9" t="s">
        <v>21</v>
      </c>
      <c r="G40" s="9">
        <v>20.0</v>
      </c>
      <c r="H40" s="9">
        <v>20.0</v>
      </c>
      <c r="I40" s="9">
        <v>0.0</v>
      </c>
      <c r="J40" s="10">
        <f t="shared" si="2"/>
        <v>1</v>
      </c>
      <c r="K40" s="9" t="s">
        <v>4</v>
      </c>
      <c r="L40" s="9" t="s">
        <v>22</v>
      </c>
    </row>
    <row r="41" ht="15.75" customHeight="1">
      <c r="A41" s="9">
        <v>40.0</v>
      </c>
      <c r="B41" s="9" t="s">
        <v>17</v>
      </c>
      <c r="C41" s="9" t="s">
        <v>69</v>
      </c>
      <c r="D41" s="9" t="s">
        <v>70</v>
      </c>
      <c r="E41" s="9" t="s">
        <v>77</v>
      </c>
      <c r="F41" s="9" t="s">
        <v>21</v>
      </c>
      <c r="G41" s="9">
        <v>15.0</v>
      </c>
      <c r="H41" s="9">
        <v>15.0</v>
      </c>
      <c r="I41" s="9">
        <v>0.0</v>
      </c>
      <c r="J41" s="10">
        <f t="shared" si="2"/>
        <v>1</v>
      </c>
      <c r="K41" s="9" t="s">
        <v>4</v>
      </c>
      <c r="L41" s="9" t="s">
        <v>22</v>
      </c>
    </row>
    <row r="42" ht="15.75" customHeight="1">
      <c r="A42" s="9">
        <v>41.0</v>
      </c>
      <c r="B42" s="9" t="s">
        <v>17</v>
      </c>
      <c r="C42" s="9" t="s">
        <v>69</v>
      </c>
      <c r="D42" s="9" t="s">
        <v>70</v>
      </c>
      <c r="E42" s="9" t="s">
        <v>78</v>
      </c>
      <c r="F42" s="9" t="s">
        <v>42</v>
      </c>
      <c r="G42" s="9">
        <v>25.0</v>
      </c>
      <c r="H42" s="9">
        <v>25.0</v>
      </c>
      <c r="I42" s="9">
        <v>0.0</v>
      </c>
      <c r="J42" s="10">
        <f t="shared" si="2"/>
        <v>1</v>
      </c>
      <c r="K42" s="9" t="s">
        <v>5</v>
      </c>
      <c r="L42" s="9" t="s">
        <v>22</v>
      </c>
    </row>
    <row r="43" ht="15.75" customHeight="1">
      <c r="A43" s="9">
        <v>42.0</v>
      </c>
      <c r="B43" s="9" t="s">
        <v>17</v>
      </c>
      <c r="C43" s="9" t="s">
        <v>79</v>
      </c>
      <c r="D43" s="9" t="s">
        <v>80</v>
      </c>
      <c r="E43" s="9" t="s">
        <v>81</v>
      </c>
      <c r="F43" s="9" t="s">
        <v>21</v>
      </c>
      <c r="G43" s="9">
        <v>25.0</v>
      </c>
      <c r="H43" s="9">
        <v>30.0</v>
      </c>
      <c r="I43" s="9">
        <v>0.0</v>
      </c>
      <c r="J43" s="10">
        <f t="shared" si="2"/>
        <v>1</v>
      </c>
      <c r="K43" s="9" t="s">
        <v>3</v>
      </c>
      <c r="L43" s="9" t="s">
        <v>22</v>
      </c>
    </row>
    <row r="44" ht="15.75" customHeight="1">
      <c r="A44" s="9">
        <v>43.0</v>
      </c>
      <c r="B44" s="9" t="s">
        <v>17</v>
      </c>
      <c r="C44" s="9" t="s">
        <v>79</v>
      </c>
      <c r="D44" s="9" t="s">
        <v>80</v>
      </c>
      <c r="E44" s="9" t="s">
        <v>82</v>
      </c>
      <c r="F44" s="9" t="s">
        <v>21</v>
      </c>
      <c r="G44" s="9">
        <v>25.0</v>
      </c>
      <c r="H44" s="9">
        <v>30.0</v>
      </c>
      <c r="I44" s="9">
        <v>0.0</v>
      </c>
      <c r="J44" s="10">
        <f t="shared" si="2"/>
        <v>1</v>
      </c>
      <c r="K44" s="9" t="s">
        <v>3</v>
      </c>
      <c r="L44" s="9" t="s">
        <v>22</v>
      </c>
    </row>
    <row r="45" ht="15.75" customHeight="1">
      <c r="A45" s="9">
        <v>44.0</v>
      </c>
      <c r="B45" s="9" t="s">
        <v>17</v>
      </c>
      <c r="C45" s="9" t="s">
        <v>79</v>
      </c>
      <c r="D45" s="9" t="s">
        <v>80</v>
      </c>
      <c r="E45" s="9" t="s">
        <v>83</v>
      </c>
      <c r="F45" s="9" t="s">
        <v>21</v>
      </c>
      <c r="G45" s="9">
        <v>15.0</v>
      </c>
      <c r="H45" s="9">
        <v>15.0</v>
      </c>
      <c r="I45" s="9">
        <v>0.0</v>
      </c>
      <c r="J45" s="10">
        <f t="shared" si="2"/>
        <v>1</v>
      </c>
      <c r="K45" s="9" t="s">
        <v>3</v>
      </c>
      <c r="L45" s="9" t="s">
        <v>22</v>
      </c>
    </row>
    <row r="46" ht="15.75" customHeight="1">
      <c r="A46" s="9">
        <v>45.0</v>
      </c>
      <c r="B46" s="9" t="s">
        <v>17</v>
      </c>
      <c r="C46" s="9" t="s">
        <v>79</v>
      </c>
      <c r="D46" s="9" t="s">
        <v>80</v>
      </c>
      <c r="E46" s="9" t="s">
        <v>84</v>
      </c>
      <c r="F46" s="9" t="s">
        <v>21</v>
      </c>
      <c r="G46" s="9">
        <v>15.0</v>
      </c>
      <c r="H46" s="9">
        <v>15.0</v>
      </c>
      <c r="I46" s="9">
        <v>0.0</v>
      </c>
      <c r="J46" s="10">
        <f t="shared" si="2"/>
        <v>1</v>
      </c>
      <c r="K46" s="9" t="s">
        <v>3</v>
      </c>
      <c r="L46" s="9" t="s">
        <v>22</v>
      </c>
    </row>
    <row r="47" ht="15.75" customHeight="1">
      <c r="A47" s="9">
        <v>46.0</v>
      </c>
      <c r="B47" s="9" t="s">
        <v>17</v>
      </c>
      <c r="C47" s="9" t="s">
        <v>79</v>
      </c>
      <c r="D47" s="9" t="s">
        <v>80</v>
      </c>
      <c r="E47" s="9" t="s">
        <v>85</v>
      </c>
      <c r="F47" s="9" t="s">
        <v>42</v>
      </c>
      <c r="G47" s="9">
        <v>15.0</v>
      </c>
      <c r="H47" s="9">
        <v>20.0</v>
      </c>
      <c r="I47" s="9">
        <v>0.0</v>
      </c>
      <c r="J47" s="10">
        <f t="shared" si="2"/>
        <v>1</v>
      </c>
      <c r="K47" s="9" t="s">
        <v>5</v>
      </c>
      <c r="L47" s="9" t="s">
        <v>22</v>
      </c>
    </row>
    <row r="48" ht="15.75" customHeight="1">
      <c r="C48" s="9"/>
      <c r="D48" s="9"/>
      <c r="F48" s="9"/>
    </row>
    <row r="49" ht="15.75" customHeight="1">
      <c r="C49" s="9"/>
      <c r="D49" s="9"/>
      <c r="F49" s="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47">
      <formula1>"Koly,Mialy,Harena"</formula1>
    </dataValidation>
    <dataValidation type="list" allowBlank="1" showErrorMessage="1" sqref="D2:D47">
      <formula1>"login.php,dashboard.php,home.php,form.php,liaison.php,recap.php,achat.php,recap.pphp,vente.php,projet,renitialisation.php"</formula1>
    </dataValidation>
    <dataValidation type="list" allowBlank="1" showErrorMessage="1" sqref="C2:C47">
      <formula1>"Login,Dashboard,Base,Home,Formulaire,Liaison,Recapitulatif,Achat,Vente,Page,Renitialisation"</formula1>
    </dataValidation>
    <dataValidation type="list" allowBlank="1" showErrorMessage="1" sqref="F2:F47">
      <formula1>"Affichage,Base,Fonction,Fonction + Intégration,Fonction+Integration,Intégration"</formula1>
    </dataValidation>
    <dataValidation type="list" allowBlank="1" showErrorMessage="1" sqref="L2:L47">
      <formula1>"Terminé,En cours"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44"/>
    <col customWidth="1" min="2" max="2" width="25.78"/>
    <col customWidth="1" min="3" max="3" width="30.78"/>
    <col customWidth="1" min="4" max="4" width="12.44"/>
    <col customWidth="1" min="5" max="5" width="22.44"/>
    <col customWidth="1" min="6" max="26" width="10.56"/>
  </cols>
  <sheetData>
    <row r="1" ht="15.75" customHeight="1">
      <c r="A1" s="7" t="s">
        <v>86</v>
      </c>
      <c r="B1" s="7" t="s">
        <v>87</v>
      </c>
      <c r="C1" s="7" t="s">
        <v>88</v>
      </c>
      <c r="D1" s="7" t="s">
        <v>89</v>
      </c>
      <c r="E1" s="7" t="s">
        <v>90</v>
      </c>
    </row>
    <row r="2" ht="15.75" customHeight="1">
      <c r="A2" s="4">
        <f>SUM('liste des taches'!G2:G329)</f>
        <v>1090</v>
      </c>
      <c r="B2" s="4">
        <f>SUM('liste des taches'!H2:H329)</f>
        <v>1225</v>
      </c>
      <c r="C2" s="4">
        <f>SUM('liste des taches'!I2:I329)</f>
        <v>-120</v>
      </c>
      <c r="D2" s="10">
        <f>(B2/(B2+C2))</f>
        <v>1.108597285</v>
      </c>
      <c r="E2" s="12">
        <f>((B2+C2)-A2)/A2</f>
        <v>0.01376146789</v>
      </c>
    </row>
    <row r="3" ht="15.75" customHeight="1">
      <c r="C3" s="4">
        <f>C2/60</f>
        <v>-2</v>
      </c>
      <c r="D3" s="4" t="s">
        <v>91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10.56"/>
  </cols>
  <sheetData>
    <row r="1" ht="15.75" customHeight="1">
      <c r="A1" s="6" t="s">
        <v>7</v>
      </c>
      <c r="B1" s="1" t="s">
        <v>92</v>
      </c>
      <c r="C1" s="13">
        <v>46048.0</v>
      </c>
      <c r="D1" s="13">
        <v>46049.0</v>
      </c>
      <c r="E1" s="13">
        <v>46050.0</v>
      </c>
    </row>
    <row r="2" ht="15.75" customHeight="1">
      <c r="A2" s="9">
        <v>1.0</v>
      </c>
      <c r="B2" s="4">
        <f t="shared" ref="B2:B8" si="1">SUM(D2:P2)</f>
        <v>20</v>
      </c>
      <c r="C2" s="9"/>
      <c r="D2" s="9">
        <v>20.0</v>
      </c>
    </row>
    <row r="3" ht="15.75" customHeight="1">
      <c r="A3" s="9">
        <v>2.0</v>
      </c>
      <c r="B3" s="4">
        <f t="shared" si="1"/>
        <v>0</v>
      </c>
    </row>
    <row r="4" ht="15.75" customHeight="1">
      <c r="A4" s="9">
        <v>3.0</v>
      </c>
      <c r="B4" s="4">
        <f t="shared" si="1"/>
        <v>10</v>
      </c>
      <c r="C4" s="9">
        <v>20.0</v>
      </c>
      <c r="D4" s="9">
        <v>10.0</v>
      </c>
    </row>
    <row r="5" ht="15.75" customHeight="1">
      <c r="A5" s="9">
        <v>4.0</v>
      </c>
      <c r="B5" s="4">
        <f t="shared" si="1"/>
        <v>0</v>
      </c>
    </row>
    <row r="6" ht="15.75" customHeight="1">
      <c r="A6" s="9">
        <v>5.0</v>
      </c>
      <c r="B6" s="4">
        <f t="shared" si="1"/>
        <v>0</v>
      </c>
    </row>
    <row r="7" ht="15.75" customHeight="1">
      <c r="A7" s="9">
        <v>6.0</v>
      </c>
      <c r="B7" s="4">
        <f t="shared" si="1"/>
        <v>0</v>
      </c>
    </row>
    <row r="8" ht="15.75" customHeight="1">
      <c r="A8" s="9">
        <v>7.0</v>
      </c>
      <c r="B8" s="4">
        <f t="shared" si="1"/>
        <v>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